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ce\FMF\RP\racunalniski-praktikum\10-razpredelnice\"/>
    </mc:Choice>
  </mc:AlternateContent>
  <xr:revisionPtr revIDLastSave="0" documentId="13_ncr:1_{4FB8BC6C-55B0-4AD2-9452-C0BB588B32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1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<sst xmlns="http://schemas.openxmlformats.org/spreadsheetml/2006/main" count="22" uniqueCount="20">
  <si>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</si>
  <si>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</si>
  <si>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</si>
  <si>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</si>
  <si>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</si>
  <si>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</si>
  <si>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</si>
  <si>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</si>
  <si>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</si>
  <si>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</si>
  <si>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maj</t>
  </si>
  <si>
    <t>jun</t>
  </si>
  <si>
    <t>jul</t>
  </si>
  <si>
    <t>avg</t>
  </si>
  <si>
    <t>sep</t>
  </si>
  <si>
    <t>okt</t>
  </si>
  <si>
    <t>Vrednosti</t>
  </si>
  <si>
    <t>Povprečna poraba</t>
  </si>
  <si>
    <t>Skupaj km</t>
  </si>
  <si>
    <t>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</si>
</sst>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00\ &quot;€/l&quot;"/>
    <numFmt numFmtId="171" formatCode="#,##0.00\ &quot;€&quot;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7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avadno" xfId="0" builtinId="0"/>
    <cellStyle name="Valuta" xfId="1" builtinId="4"/>
  </cellStyles>
  <dxfs count="2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1" formatCode="0.0"/>
    </dxf>
    <dxf>
      <numFmt numFmtId="2" formatCode="0.00"/>
    </dxf>
    <dxf>
      <numFmt numFmtId="2" formatCode="0.00"/>
    </dxf>
    <dxf>
      <numFmt numFmtId="167" formatCode="0.000"/>
    </dxf>
    <dxf>
      <numFmt numFmtId="166" formatCode="0.0000"/>
    </dxf>
    <dxf>
      <numFmt numFmtId="180" formatCode="0.00000"/>
    </dxf>
    <dxf>
      <numFmt numFmtId="179" formatCode="0.000000"/>
    </dxf>
    <dxf>
      <numFmt numFmtId="178" formatCode="0.0000000"/>
    </dxf>
    <dxf>
      <numFmt numFmtId="177" formatCode="0.00000000"/>
    </dxf>
    <dxf>
      <numFmt numFmtId="171" formatCode="#,##0.00\ &quot;€&quot;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99.803472685184" createdVersion="8" refreshedVersion="8" minRefreshableVersion="3" recordCount="19" xr:uid="{3020A23D-2AAD-44A2-AE7B-351114801E12}">
  <cacheSource type="worksheet">
    <worksheetSource name="realna_poraba_cupra__2"/>
  </cacheSource>
  <cacheFields count="9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8"/>
    </cacheField>
    <cacheField name="Litri" numFmtId="2">
      <sharedItems containsSemiMixedTypes="0" containsString="0" containsNumber="1" minValue="34.04" maxValue="43.1"/>
    </cacheField>
    <cacheField name="Plačano" numFmtId="171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/>
    </cacheField>
    <cacheField name="Prikaz" numFmtId="0">
      <sharedItems containsMixedTypes="1" containsNumber="1" minValue="6.3103953147877014" maxValue="8.1008968609865484"/>
    </cacheField>
    <cacheField name="Dnevi (Datum)" numFmtId="0" databaseField="0">
      <fieldGroup base="0">
        <rangePr groupBy="days" startDate="2023-05-05T00:00:00" endDate="2023-10-15T00:00:00"/>
        <groupItems count="368">
          <s v="&lt;5.05.2023"/>
          <s v="1.jan"/>
          <s v="2.jan"/>
          <s v="3.jan"/>
          <s v="4.jan"/>
          <s v="5.jan"/>
          <s v="6.jan"/>
          <s v="7.jan"/>
          <s v="8.jan"/>
          <s v="9.jan"/>
          <s v="10.jan"/>
          <s v="11.jan"/>
          <s v="12.jan"/>
          <s v="13.jan"/>
          <s v="14.jan"/>
          <s v="15.jan"/>
          <s v="16.jan"/>
          <s v="17.jan"/>
          <s v="18.jan"/>
          <s v="19.jan"/>
          <s v="20.jan"/>
          <s v="21.jan"/>
          <s v="22.jan"/>
          <s v="23.jan"/>
          <s v="24.jan"/>
          <s v="25.jan"/>
          <s v="26.jan"/>
          <s v="27.jan"/>
          <s v="28.jan"/>
          <s v="29.jan"/>
          <s v="30.jan"/>
          <s v="31.jan"/>
          <s v="1.feb"/>
          <s v="2.feb"/>
          <s v="3.feb"/>
          <s v="4.feb"/>
          <s v="5.feb"/>
          <s v="6.feb"/>
          <s v="7.feb"/>
          <s v="8.feb"/>
          <s v="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apr"/>
          <s v="2.apr"/>
          <s v="3.apr"/>
          <s v="4.apr"/>
          <s v="5.apr"/>
          <s v="6.apr"/>
          <s v="7.apr"/>
          <s v="8.apr"/>
          <s v="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1.maj"/>
          <s v="2.maj"/>
          <s v="3.maj"/>
          <s v="4.maj"/>
          <s v="5.maj"/>
          <s v="6.maj"/>
          <s v="7.maj"/>
          <s v="8.maj"/>
          <s v="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1.jun"/>
          <s v="2.jun"/>
          <s v="3.jun"/>
          <s v="4.jun"/>
          <s v="5.jun"/>
          <s v="6.jun"/>
          <s v="7.jun"/>
          <s v="8.jun"/>
          <s v="9.jun"/>
          <s v="10.jun"/>
          <s v="11.jun"/>
          <s v="12.jun"/>
          <s v="13.jun"/>
          <s v="14.jun"/>
          <s v="15.jun"/>
          <s v="16.jun"/>
          <s v="17.jun"/>
          <s v="18.jun"/>
          <s v="19.jun"/>
          <s v="20.jun"/>
          <s v="21.jun"/>
          <s v="22.jun"/>
          <s v="23.jun"/>
          <s v="24.jun"/>
          <s v="25.jun"/>
          <s v="26.jun"/>
          <s v="27.jun"/>
          <s v="28.jun"/>
          <s v="29.jun"/>
          <s v="30.jun"/>
          <s v="1.jul"/>
          <s v="2.jul"/>
          <s v="3.jul"/>
          <s v="4.jul"/>
          <s v="5.jul"/>
          <s v="6.jul"/>
          <s v="7.jul"/>
          <s v="8.jul"/>
          <s v="9.jul"/>
          <s v="10.jul"/>
          <s v="11.jul"/>
          <s v="12.jul"/>
          <s v="13.jul"/>
          <s v="14.jul"/>
          <s v="15.jul"/>
          <s v="16.jul"/>
          <s v="17.jul"/>
          <s v="18.jul"/>
          <s v="19.jul"/>
          <s v="20.jul"/>
          <s v="21.jul"/>
          <s v="22.jul"/>
          <s v="23.jul"/>
          <s v="24.jul"/>
          <s v="25.jul"/>
          <s v="26.jul"/>
          <s v="27.jul"/>
          <s v="28.jul"/>
          <s v="29.jul"/>
          <s v="30.jul"/>
          <s v="31.jul"/>
          <s v="1.avg"/>
          <s v="2.avg"/>
          <s v="3.avg"/>
          <s v="4.avg"/>
          <s v="5.avg"/>
          <s v="6.avg"/>
          <s v="7.avg"/>
          <s v="8.avg"/>
          <s v="9.avg"/>
          <s v="10.avg"/>
          <s v="11.avg"/>
          <s v="12.avg"/>
          <s v="13.avg"/>
          <s v="14.avg"/>
          <s v="15.avg"/>
          <s v="16.avg"/>
          <s v="17.avg"/>
          <s v="18.avg"/>
          <s v="19.avg"/>
          <s v="20.avg"/>
          <s v="21.avg"/>
          <s v="22.avg"/>
          <s v="23.avg"/>
          <s v="24.avg"/>
          <s v="25.avg"/>
          <s v="26.avg"/>
          <s v="27.avg"/>
          <s v="28.avg"/>
          <s v="29.avg"/>
          <s v="30.avg"/>
          <s v="31.avg"/>
          <s v="1.sep"/>
          <s v="2.sep"/>
          <s v="3.sep"/>
          <s v="4.sep"/>
          <s v="5.sep"/>
          <s v="6.sep"/>
          <s v="7.sep"/>
          <s v="8.sep"/>
          <s v="9.sep"/>
          <s v="10.sep"/>
          <s v="11.sep"/>
          <s v="12.sep"/>
          <s v="13.sep"/>
          <s v="14.sep"/>
          <s v="15.sep"/>
          <s v="16.sep"/>
          <s v="17.sep"/>
          <s v="18.sep"/>
          <s v="19.sep"/>
          <s v="20.sep"/>
          <s v="21.sep"/>
          <s v="22.sep"/>
          <s v="23.sep"/>
          <s v="24.sep"/>
          <s v="25.sep"/>
          <s v="26.sep"/>
          <s v="27.sep"/>
          <s v="28.sep"/>
          <s v="29.sep"/>
          <s v="30.sep"/>
          <s v="1.okt"/>
          <s v="2.okt"/>
          <s v="3.okt"/>
          <s v="4.okt"/>
          <s v="5.okt"/>
          <s v="6.okt"/>
          <s v="7.okt"/>
          <s v="8.okt"/>
          <s v="9.okt"/>
          <s v="10.okt"/>
          <s v="11.okt"/>
          <s v="12.okt"/>
          <s v="13.okt"/>
          <s v="14.okt"/>
          <s v="15.okt"/>
          <s v="16.okt"/>
          <s v="17.okt"/>
          <s v="18.okt"/>
          <s v="19.okt"/>
          <s v="20.okt"/>
          <s v="21.okt"/>
          <s v="22.okt"/>
          <s v="23.okt"/>
          <s v="24.okt"/>
          <s v="25.okt"/>
          <s v="26.okt"/>
          <s v="27.okt"/>
          <s v="28.okt"/>
          <s v="29.okt"/>
          <s v="30.okt"/>
          <s v="31.okt"/>
          <s v="1.nov"/>
          <s v="2.nov"/>
          <s v="3.nov"/>
          <s v="4.nov"/>
          <s v="5.nov"/>
          <s v="6.nov"/>
          <s v="7.nov"/>
          <s v="8.nov"/>
          <s v="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1.dec"/>
          <s v="2.dec"/>
          <s v="3.dec"/>
          <s v="4.dec"/>
          <s v="5.dec"/>
          <s v="6.dec"/>
          <s v="7.dec"/>
          <s v="8.dec"/>
          <s v="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15.10.2023"/>
        </groupItems>
      </fieldGroup>
    </cacheField>
    <cacheField name="Meseci (Datum)" numFmtId="0" databaseField="0">
      <fieldGroup base="0">
        <rangePr groupBy="months" startDate="2023-05-05T00:00:00" endDate="2023-10-15T00:00:00"/>
        <groupItems count="14">
          <s v="&lt;5.05.2023"/>
          <s v="jan"/>
          <s v="feb"/>
          <s v="mar"/>
          <s v="apr"/>
          <s v="maj"/>
          <s v="jun"/>
          <s v="jul"/>
          <s v="avg"/>
          <s v="sep"/>
          <s v="okt"/>
          <s v="nov"/>
          <s v="dec"/>
          <s v="&gt;15.10.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s v=""/>
    <s v=""/>
  </r>
  <r>
    <x v="1"/>
    <n v="43.02"/>
    <n v="59.797800000000002"/>
    <n v="42521"/>
    <x v="1"/>
    <n v="7.006514657980456"/>
    <n v="7.006514657980456"/>
  </r>
  <r>
    <x v="2"/>
    <n v="41.67"/>
    <n v="57.921299999999995"/>
    <n v="43181"/>
    <x v="2"/>
    <n v="6.3136363636363635"/>
    <n v="6.3136363636363635"/>
  </r>
  <r>
    <x v="3"/>
    <n v="34.04"/>
    <n v="47.043279999999996"/>
    <n v="43696"/>
    <x v="3"/>
    <n v="6.6097087378640778"/>
    <n v="6.6097087378640778"/>
  </r>
  <r>
    <x v="4"/>
    <n v="42.42"/>
    <n v="59.897039999999997"/>
    <n v="44314"/>
    <x v="4"/>
    <n v="6.8640776699029127"/>
    <n v="6.8640776699029127"/>
  </r>
  <r>
    <x v="5"/>
    <n v="43.1"/>
    <n v="60.857199999999999"/>
    <n v="44997"/>
    <x v="5"/>
    <n v="6.3103953147877014"/>
    <n v="6.3103953147877014"/>
  </r>
  <r>
    <x v="6"/>
    <n v="38.18"/>
    <n v="54.368319999999997"/>
    <n v="45546"/>
    <x v="6"/>
    <n v="6.9544626593806917"/>
    <n v="6.9544626593806917"/>
  </r>
  <r>
    <x v="7"/>
    <n v="40.659999999999997"/>
    <n v="58.713039999999992"/>
    <n v="46126"/>
    <x v="7"/>
    <n v="7.0103448275862057"/>
    <n v="7.0103448275862057"/>
  </r>
  <r>
    <x v="8"/>
    <n v="39.17"/>
    <n v="56.561480000000003"/>
    <n v="46687"/>
    <x v="8"/>
    <n v="6.9821746880570412"/>
    <n v="6.9821746880570412"/>
  </r>
  <r>
    <x v="9"/>
    <n v="40.29"/>
    <n v="58.662239999999997"/>
    <n v="47250"/>
    <x v="9"/>
    <n v="7.1563055062166967"/>
    <n v="7.1563055062166967"/>
  </r>
  <r>
    <x v="10"/>
    <n v="41.01"/>
    <n v="59.710559999999994"/>
    <n v="47867"/>
    <x v="10"/>
    <n v="6.646677471636953"/>
    <n v="6.646677471636953"/>
  </r>
  <r>
    <x v="11"/>
    <n v="37.18"/>
    <n v="56.178979999999996"/>
    <n v="48407"/>
    <x v="11"/>
    <n v="6.8851851851851853"/>
    <n v="6.8851851851851853"/>
  </r>
  <r>
    <x v="12"/>
    <n v="41.46"/>
    <n v="62.646059999999999"/>
    <n v="49005"/>
    <x v="12"/>
    <n v="6.9331103678929766"/>
    <n v="6.9331103678929766"/>
  </r>
  <r>
    <x v="13"/>
    <n v="35.97"/>
    <n v="55.537680000000002"/>
    <n v="49480"/>
    <x v="13"/>
    <n v="7.5726315789473686"/>
    <n v="7.5726315789473686"/>
  </r>
  <r>
    <x v="14"/>
    <n v="38.74"/>
    <n v="60.085740000000001"/>
    <n v="50012"/>
    <x v="14"/>
    <n v="7.2819548872180455"/>
    <n v="7.2819548872180455"/>
  </r>
  <r>
    <x v="15"/>
    <n v="36.130000000000003"/>
    <n v="56.03763"/>
    <n v="50458"/>
    <x v="15"/>
    <n v="8.1008968609865484"/>
    <n v="8.1008968609865484"/>
  </r>
  <r>
    <x v="16"/>
    <n v="38.51"/>
    <n v="61.153880000000001"/>
    <n v="50991"/>
    <x v="16"/>
    <n v="7.2251407129455911"/>
    <n v="7.2251407129455911"/>
  </r>
  <r>
    <x v="17"/>
    <n v="38.840000000000003"/>
    <n v="61.677920000000007"/>
    <n v="51593"/>
    <x v="17"/>
    <n v="6.4518272425249181"/>
    <n v="6.4518272425249181"/>
  </r>
  <r>
    <x v="18"/>
    <n v="41.73"/>
    <n v="64.097279999999998"/>
    <n v="52176"/>
    <x v="18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4D470-F5B2-469B-BED7-2F0FA82718FD}" name="Vrtilna tabela2" cacheId="10" dataOnRows="1" applyNumberFormats="0" applyBorderFormats="0" applyFontFormats="0" applyPatternFormats="0" applyAlignmentFormats="0" applyWidthHeightFormats="1" dataCaption="Vrednosti" updatedVersion="8" minRefreshableVersion="3" useAutoFormatting="1" colGrandTotals="0" itemPrintTitles="1" createdVersion="8" indent="0" outline="1" outlineData="1" multipleFieldFilters="0" colHeaderCaption="Mesec">
  <location ref="B23:H26" firstHeaderRow="1" firstDataRow="2" firstDataCol="1"/>
  <pivotFields count="9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2" showAll="0"/>
    <pivotField numFmtId="171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1">
    <field x="8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kupaj km" fld="4" baseField="8" baseItem="5"/>
    <dataField name="Povprečna poraba" fld="5" subtotal="average" baseField="8" baseItem="5"/>
  </dataFields>
  <formats count="1">
    <format dxfId="6">
      <pivotArea collapsedLevelsAreSubtotals="1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25"/>
    <tableColumn id="2" xr3:uid="{6DC2697C-FCB3-8A47-945B-8CD05834AA8C}" uniqueName="2" name="Litri" queryTableFieldId="2" dataDxfId="16"/>
    <tableColumn id="3" xr3:uid="{19DBC541-3ADF-4E48-8786-6E42DA219788}" uniqueName="3" name="Plačano" queryTableFieldId="3" dataDxfId="14" dataCellStyle="Valuta"/>
    <tableColumn id="4" xr3:uid="{3238A9AD-2FC0-0E49-9EE3-7019C05B366B}" uniqueName="4" name="Števec" queryTableFieldId="4" dataDxfId="15"/>
    <tableColumn id="5" xr3:uid="{E0B5480D-9C8F-CA4C-941D-AE9FDE0CDFDC}" uniqueName="5" name="Prevoženo" queryTableFieldId="5" dataDxfId="24"/>
    <tableColumn id="6" xr3:uid="{1DEAFC6B-8470-6742-BAB3-957B7429D133}" uniqueName="6" name="Poraba" queryTableFieldId="6" dataDxfId="23"/>
    <tableColumn id="11" xr3:uid="{911769A8-5CFE-8245-A64B-38797D90A3B5}" uniqueName="11" name="Prikaz" queryTableFieldId="11" dataDxfId="2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21" tableBorderDxfId="20" totalsRowBorderDxfId="19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18"/>
    <tableColumn id="2" xr3:uid="{079EA12A-47EB-F54A-8E37-30D8BCE75150}" name="Bencin" dataDxfId="17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zoomScale="120" zoomScaleNormal="120" workbookViewId="0">
      <selection activeCell="E12" sqref="E12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3" width="9.140625" bestFit="1" customWidth="1"/>
    <col min="4" max="4" width="10.140625" bestFit="1" customWidth="1"/>
    <col min="5" max="5" width="9.140625" bestFit="1" customWidth="1"/>
    <col min="6" max="6" width="12.7109375" bestFit="1" customWidth="1"/>
    <col min="7" max="7" width="9.42578125" bestFit="1" customWidth="1"/>
    <col min="8" max="8" width="8.5703125" bestFit="1" customWidth="1"/>
    <col min="9" max="9" width="13.28515625" bestFit="1" customWidth="1"/>
    <col min="10" max="13" width="20.140625" bestFit="1" customWidth="1"/>
    <col min="14" max="14" width="25" bestFit="1" customWidth="1"/>
    <col min="15" max="15" width="25.855468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realna_poraba_cupra__2[[#This Row],[Litri]]*INDEX(Table3[],MATCH(realna_poraba_cupra__2[[#This Row],[Datum]],Table3[Veljavnost],1),2)</f>
        <v>58.296720000000001</v>
      </c>
      <c r="E3" s="2">
        <v>41907</v>
      </c>
      <c r="F3" t="s">
        <v>4</v>
      </c>
      <c r="G3" t="s">
        <v>4</v>
      </c>
      <c r="H3" t="s">
        <v>4</v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realna_poraba_cupra__2[[#This Row],[Litri]]*INDEX(Table3[],MATCH(realna_poraba_cupra__2[[#This Row],[Datum]],Table3[Veljavnost],1),2)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realna_poraba_cupra__2[[#This Row],[Litri]]*INDEX(Table3[],MATCH(realna_poraba_cupra__2[[#This Row],[Datum]],Table3[Veljavnost],1),2)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realna_poraba_cupra__2[[#This Row],[Litri]]*INDEX(Table3[],MATCH(realna_poraba_cupra__2[[#This Row],[Datum]],Table3[Veljavnost],1),2)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realna_poraba_cupra__2[[#This Row],[Litri]]*INDEX(Table3[],MATCH(realna_poraba_cupra__2[[#This Row],[Datum]],Table3[Veljavnost],1),2)</f>
        <v>59.897039999999997</v>
      </c>
      <c r="E7" s="2">
        <v>44314</v>
      </c>
      <c r="F7" s="2">
        <f>realna_poraba_cupra__2[[#This Row],[Števec]]-E6</f>
        <v>618</v>
      </c>
      <c r="G7" s="3">
        <f>100*realna_poraba_cupra__2[[#This Row],[Litri]]/realna_poraba_cupra__2[[#This Row],[Prevoženo]]</f>
        <v>6.8640776699029127</v>
      </c>
      <c r="H7" s="3"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realna_poraba_cupra__2[[#This Row],[Litri]]*INDEX(Table3[],MATCH(realna_poraba_cupra__2[[#This Row],[Datum]],Table3[Veljavnost],1),2)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realna_poraba_cupra__2[[#This Row],[Litri]]*INDEX(Table3[],MATCH(realna_poraba_cupra__2[[#This Row],[Datum]],Table3[Veljavnost],1),2)</f>
        <v>54.368319999999997</v>
      </c>
      <c r="E9" s="2">
        <v>45546</v>
      </c>
      <c r="F9" s="2">
        <f>realna_poraba_cupra__2[[#This Row],[Števec]]-E8</f>
        <v>549</v>
      </c>
      <c r="G9" s="3">
        <f>100*realna_poraba_cupra__2[[#This Row],[Litri]]/realna_poraba_cupra__2[[#This Row],[Prevoženo]]</f>
        <v>6.9544626593806917</v>
      </c>
      <c r="H9" s="3"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realna_poraba_cupra__2[[#This Row],[Litri]]*INDEX(Table3[],MATCH(realna_poraba_cupra__2[[#This Row],[Datum]],Table3[Veljavnost],1),2)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realna_poraba_cupra__2[[#This Row],[Litri]]*INDEX(Table3[],MATCH(realna_poraba_cupra__2[[#This Row],[Datum]],Table3[Veljavnost],1),2)</f>
        <v>56.561480000000003</v>
      </c>
      <c r="E11" s="2">
        <v>46687</v>
      </c>
      <c r="F11" s="2">
        <f>realna_poraba_cupra__2[[#This Row],[Števec]]-E10</f>
        <v>561</v>
      </c>
      <c r="G11" s="3">
        <f>100*realna_poraba_cupra__2[[#This Row],[Litri]]/realna_poraba_cupra__2[[#This Row],[Prevoženo]]</f>
        <v>6.9821746880570412</v>
      </c>
      <c r="H11" s="3"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realna_poraba_cupra__2[[#This Row],[Litri]]*INDEX(Table3[],MATCH(realna_poraba_cupra__2[[#This Row],[Datum]],Table3[Veljavnost],1),2)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realna_poraba_cupra__2[[#This Row],[Litri]]*INDEX(Table3[],MATCH(realna_poraba_cupra__2[[#This Row],[Datum]],Table3[Veljavnost],1),2)</f>
        <v>59.710559999999994</v>
      </c>
      <c r="E13" s="2">
        <v>47867</v>
      </c>
      <c r="F13" s="2">
        <f>realna_poraba_cupra__2[[#This Row],[Števec]]-E12</f>
        <v>617</v>
      </c>
      <c r="G13" s="3">
        <f>100*realna_poraba_cupra__2[[#This Row],[Litri]]/realna_poraba_cupra__2[[#This Row],[Prevoženo]]</f>
        <v>6.646677471636953</v>
      </c>
      <c r="H13" s="3"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realna_poraba_cupra__2[[#This Row],[Litri]]*INDEX(Table3[],MATCH(realna_poraba_cupra__2[[#This Row],[Datum]],Table3[Veljavnost],1),2)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realna_poraba_cupra__2[[#This Row],[Litri]]*INDEX(Table3[],MATCH(realna_poraba_cupra__2[[#This Row],[Datum]],Table3[Veljavnost],1),2)</f>
        <v>62.646059999999999</v>
      </c>
      <c r="E15" s="2">
        <v>49005</v>
      </c>
      <c r="F15" s="2">
        <f>realna_poraba_cupra__2[[#This Row],[Števec]]-E14</f>
        <v>598</v>
      </c>
      <c r="G15" s="3">
        <f>100*realna_poraba_cupra__2[[#This Row],[Litri]]/realna_poraba_cupra__2[[#This Row],[Prevoženo]]</f>
        <v>6.9331103678929766</v>
      </c>
      <c r="H15" s="3"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realna_poraba_cupra__2[[#This Row],[Litri]]*INDEX(Table3[],MATCH(realna_poraba_cupra__2[[#This Row],[Datum]],Table3[Veljavnost],1),2)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realna_poraba_cupra__2[[#This Row],[Litri]]*INDEX(Table3[],MATCH(realna_poraba_cupra__2[[#This Row],[Datum]],Table3[Veljavnost],1),2)</f>
        <v>60.085740000000001</v>
      </c>
      <c r="E17" s="2">
        <v>50012</v>
      </c>
      <c r="F17" s="2">
        <f>realna_poraba_cupra__2[[#This Row],[Števec]]-E16</f>
        <v>532</v>
      </c>
      <c r="G17" s="3">
        <f>100*realna_poraba_cupra__2[[#This Row],[Litri]]/realna_poraba_cupra__2[[#This Row],[Prevoženo]]</f>
        <v>7.2819548872180455</v>
      </c>
      <c r="H17" s="3"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realna_poraba_cupra__2[[#This Row],[Litri]]*INDEX(Table3[],MATCH(realna_poraba_cupra__2[[#This Row],[Datum]],Table3[Veljavnost],1),2)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realna_poraba_cupra__2[[#This Row],[Litri]]*INDEX(Table3[],MATCH(realna_poraba_cupra__2[[#This Row],[Datum]],Table3[Veljavnost],1),2)</f>
        <v>61.153880000000001</v>
      </c>
      <c r="E19" s="2">
        <v>50991</v>
      </c>
      <c r="F19" s="2">
        <f>realna_poraba_cupra__2[[#This Row],[Števec]]-E18</f>
        <v>533</v>
      </c>
      <c r="G19" s="3">
        <f>100*realna_poraba_cupra__2[[#This Row],[Litri]]/realna_poraba_cupra__2[[#This Row],[Prevoženo]]</f>
        <v>7.2251407129455911</v>
      </c>
      <c r="H19" s="3"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realna_poraba_cupra__2[[#This Row],[Litri]]*INDEX(Table3[],MATCH(realna_poraba_cupra__2[[#This Row],[Datum]],Table3[Veljavnost],1),2)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realna_poraba_cupra__2[[#This Row],[Litri]]*INDEX(Table3[],MATCH(realna_poraba_cupra__2[[#This Row],[Datum]],Table3[Veljavnost],1),2)</f>
        <v>64.097279999999998</v>
      </c>
      <c r="E21" s="2">
        <v>52176</v>
      </c>
      <c r="F21" s="2">
        <f>realna_poraba_cupra__2[[#This Row],[Števec]]-E20</f>
        <v>583</v>
      </c>
      <c r="G21" s="3">
        <f>100*realna_poraba_cupra__2[[#This Row],[Litri]]/realna_poraba_cupra__2[[#This Row],[Prevoženo]]</f>
        <v>7.1578044596912518</v>
      </c>
      <c r="H21" s="3"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6" t="s">
        <v>19</v>
      </c>
      <c r="J23" s="1">
        <v>45209</v>
      </c>
      <c r="K23" s="4">
        <v>1.536</v>
      </c>
    </row>
    <row r="24" spans="2:11" x14ac:dyDescent="0.25">
      <c r="B24" s="6" t="s">
        <v>16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B25" s="7" t="s">
        <v>18</v>
      </c>
      <c r="C25" s="8">
        <v>1789</v>
      </c>
      <c r="D25" s="8">
        <v>1850</v>
      </c>
      <c r="E25" s="8">
        <v>2321</v>
      </c>
      <c r="F25" s="8">
        <v>1138</v>
      </c>
      <c r="G25" s="8">
        <v>1986</v>
      </c>
      <c r="H25" s="8">
        <v>1185</v>
      </c>
      <c r="J25" s="1">
        <v>45237</v>
      </c>
      <c r="K25" s="4">
        <v>1.534</v>
      </c>
    </row>
    <row r="26" spans="2:11" x14ac:dyDescent="0.25">
      <c r="B26" s="7" t="s">
        <v>17</v>
      </c>
      <c r="C26" s="3">
        <v>6.643286586493633</v>
      </c>
      <c r="D26" s="3">
        <v>6.7096452146904353</v>
      </c>
      <c r="E26" s="3">
        <v>6.9488756233742235</v>
      </c>
      <c r="F26" s="3">
        <v>6.909147776539081</v>
      </c>
      <c r="G26" s="3">
        <v>7.5451560100243888</v>
      </c>
      <c r="H26" s="3">
        <v>6.804815851108085</v>
      </c>
    </row>
  </sheetData>
  <conditionalFormatting sqref="H4:H21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{0700C1C4-9B6A-4E2B-ACCE-1276CFFAEB61}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00C1C4-9B6A-4E2B-ACCE-1276CFFAEB61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Hranjec, Nace</cp:lastModifiedBy>
  <dcterms:created xsi:type="dcterms:W3CDTF">2007-10-01T06:54:22Z</dcterms:created>
  <dcterms:modified xsi:type="dcterms:W3CDTF">2025-12-08T18:22:56Z</dcterms:modified>
</cp:coreProperties>
</file>