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ce\FMF\RP\racunalniski-praktikum\10-razpredelnice\"/>
    </mc:Choice>
  </mc:AlternateContent>
  <xr:revisionPtr revIDLastSave="0" documentId="13_ncr:1_{73B89F61-CD98-435D-8D0E-E59C92EC043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C45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E43" i="1"/>
  <c r="D43" i="1"/>
  <c r="C4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E24" i="1"/>
  <c r="E14" i="1"/>
  <c r="D24" i="1"/>
  <c r="C2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D14" i="1"/>
  <c r="C14" i="1"/>
</calcChain>
</file>

<file path=xl/sharedStrings.xml><?xml version="1.0" encoding="utf-8"?>
<sst xmlns="http://schemas.openxmlformats.org/spreadsheetml/2006/main" count="473" uniqueCount="72">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</sst>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topLeftCell="A2" zoomScale="130" zoomScaleNormal="130" workbookViewId="0">
      <selection activeCell="Y6" sqref="Y6"/>
    </sheetView>
  </sheetViews>
  <sheetFormatPr defaultColWidth="8.85546875" defaultRowHeight="15" x14ac:dyDescent="0.25"/>
  <cols>
    <col min="1" max="1" width="3.140625" customWidth="1"/>
    <col min="2" max="2" width="15.7109375" bestFit="1" customWidth="1"/>
    <col min="3" max="4" width="4.7109375" style="2" customWidth="1"/>
    <col min="5" max="13" width="3.42578125" style="2" bestFit="1" customWidth="1"/>
    <col min="14" max="14" width="3.140625" style="2" customWidth="1"/>
    <col min="15" max="18" width="3.42578125" style="2" bestFit="1" customWidth="1"/>
    <col min="19" max="19" width="3.28515625" customWidth="1"/>
  </cols>
  <sheetData>
    <row r="2" spans="2:23" ht="45.75" x14ac:dyDescent="0.25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57</v>
      </c>
      <c r="Q2" s="3" t="s">
        <v>6</v>
      </c>
      <c r="R2" s="3" t="s">
        <v>10</v>
      </c>
    </row>
    <row r="3" spans="2:23" ht="43.5" x14ac:dyDescent="0.25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14</v>
      </c>
      <c r="Q3" s="3" t="s">
        <v>65</v>
      </c>
      <c r="R3" s="3" t="s">
        <v>18</v>
      </c>
    </row>
    <row r="4" spans="2:23" ht="26.25" x14ac:dyDescent="0.4">
      <c r="B4" s="4" t="s">
        <v>20</v>
      </c>
      <c r="D4" s="1"/>
      <c r="T4" s="9" t="s">
        <v>67</v>
      </c>
      <c r="U4" s="9"/>
      <c r="V4" s="9"/>
      <c r="W4" s="9"/>
    </row>
    <row r="5" spans="2:23" x14ac:dyDescent="0.25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Q5" s="2" t="s">
        <v>1</v>
      </c>
      <c r="T5" s="8" t="s">
        <v>69</v>
      </c>
      <c r="U5" s="8" t="s">
        <v>68</v>
      </c>
      <c r="V5" s="8" t="s">
        <v>70</v>
      </c>
      <c r="W5" s="8" t="s">
        <v>71</v>
      </c>
    </row>
    <row r="6" spans="2:23" x14ac:dyDescent="0.25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R6" s="2" t="s">
        <v>0</v>
      </c>
      <c r="T6" t="s">
        <v>9</v>
      </c>
      <c r="U6" t="s">
        <v>19</v>
      </c>
      <c r="V6">
        <v>94</v>
      </c>
      <c r="W6">
        <f>IF(V6&gt;=50,_xlfn.CEILING.MATH((V6+1)/10),"")</f>
        <v>10</v>
      </c>
    </row>
    <row r="7" spans="2:23" x14ac:dyDescent="0.25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R7" s="2" t="s">
        <v>0</v>
      </c>
      <c r="T7" t="s">
        <v>7</v>
      </c>
      <c r="U7" t="s">
        <v>66</v>
      </c>
      <c r="V7">
        <v>92</v>
      </c>
      <c r="W7">
        <f t="shared" ref="W7:W19" si="0">IF(V7&gt;=50,_xlfn.CEILING.MATH((V7+1)/10),"")</f>
        <v>10</v>
      </c>
    </row>
    <row r="8" spans="2:23" x14ac:dyDescent="0.25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R8" s="2" t="s">
        <v>0</v>
      </c>
      <c r="T8" t="s">
        <v>2</v>
      </c>
      <c r="U8" t="s">
        <v>13</v>
      </c>
      <c r="V8">
        <v>87</v>
      </c>
      <c r="W8">
        <f t="shared" si="0"/>
        <v>9</v>
      </c>
    </row>
    <row r="9" spans="2:23" x14ac:dyDescent="0.25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Q9" s="2" t="s">
        <v>0</v>
      </c>
      <c r="R9" s="2" t="s">
        <v>1</v>
      </c>
      <c r="T9" t="s">
        <v>61</v>
      </c>
      <c r="U9" t="s">
        <v>17</v>
      </c>
      <c r="V9">
        <v>84</v>
      </c>
      <c r="W9">
        <f t="shared" si="0"/>
        <v>9</v>
      </c>
    </row>
    <row r="10" spans="2:23" x14ac:dyDescent="0.25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Q10" s="2" t="s">
        <v>0</v>
      </c>
      <c r="R10" s="2" t="s">
        <v>0</v>
      </c>
      <c r="T10" t="s">
        <v>10</v>
      </c>
      <c r="U10" t="s">
        <v>18</v>
      </c>
      <c r="V10">
        <v>83</v>
      </c>
      <c r="W10">
        <f t="shared" si="0"/>
        <v>9</v>
      </c>
    </row>
    <row r="11" spans="2:23" x14ac:dyDescent="0.25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R11" s="2" t="s">
        <v>1</v>
      </c>
      <c r="T11" t="s">
        <v>3</v>
      </c>
      <c r="U11" t="s">
        <v>12</v>
      </c>
      <c r="V11">
        <v>78</v>
      </c>
      <c r="W11">
        <f t="shared" si="0"/>
        <v>8</v>
      </c>
    </row>
    <row r="12" spans="2:23" x14ac:dyDescent="0.25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Q12" s="2" t="s">
        <v>1</v>
      </c>
      <c r="R12" s="2" t="s">
        <v>0</v>
      </c>
      <c r="T12" t="s">
        <v>60</v>
      </c>
      <c r="U12" t="s">
        <v>11</v>
      </c>
      <c r="V12">
        <v>70</v>
      </c>
      <c r="W12">
        <f t="shared" si="0"/>
        <v>8</v>
      </c>
    </row>
    <row r="13" spans="2:23" x14ac:dyDescent="0.25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Q13" s="2" t="s">
        <v>1</v>
      </c>
      <c r="R13" s="2" t="s">
        <v>0</v>
      </c>
      <c r="T13" t="s">
        <v>8</v>
      </c>
      <c r="U13" t="s">
        <v>64</v>
      </c>
      <c r="V13">
        <v>69</v>
      </c>
      <c r="W13">
        <f t="shared" si="0"/>
        <v>7</v>
      </c>
    </row>
    <row r="14" spans="2:23" x14ac:dyDescent="0.25">
      <c r="C14" s="6">
        <f>SUM(C5:C13)</f>
        <v>28</v>
      </c>
      <c r="D14" s="6">
        <f>SUM(D5:D13)</f>
        <v>14</v>
      </c>
      <c r="E14" s="6">
        <f>SUMIF(E5:E13,$C$3,$C$5:$C$13)+SUMIF(E5:E13,$D$3,$D$5:$D$13)</f>
        <v>18</v>
      </c>
      <c r="F14" s="6">
        <f t="shared" ref="F14:R14" si="1">SUMIF(F5:F13,$C$3,$C$5:$C$13)+SUMIF(F5:F13,$D$3,$D$5:$D$13)</f>
        <v>0</v>
      </c>
      <c r="G14" s="6">
        <f t="shared" si="1"/>
        <v>12</v>
      </c>
      <c r="H14" s="6">
        <f t="shared" si="1"/>
        <v>4</v>
      </c>
      <c r="I14" s="6">
        <f t="shared" si="1"/>
        <v>23</v>
      </c>
      <c r="J14" s="6">
        <f t="shared" si="1"/>
        <v>18</v>
      </c>
      <c r="K14" s="6">
        <f t="shared" si="1"/>
        <v>23</v>
      </c>
      <c r="L14" s="6">
        <f t="shared" si="1"/>
        <v>23</v>
      </c>
      <c r="M14" s="6">
        <f t="shared" si="1"/>
        <v>6</v>
      </c>
      <c r="N14" s="6">
        <f t="shared" si="1"/>
        <v>28</v>
      </c>
      <c r="O14" s="6">
        <f t="shared" si="1"/>
        <v>11</v>
      </c>
      <c r="P14" s="6">
        <f t="shared" si="1"/>
        <v>0</v>
      </c>
      <c r="Q14" s="6">
        <f t="shared" si="1"/>
        <v>10</v>
      </c>
      <c r="R14" s="6">
        <f t="shared" si="1"/>
        <v>20</v>
      </c>
      <c r="T14" t="s">
        <v>63</v>
      </c>
      <c r="U14" t="s">
        <v>16</v>
      </c>
      <c r="V14">
        <v>61</v>
      </c>
      <c r="W14">
        <f t="shared" si="0"/>
        <v>7</v>
      </c>
    </row>
    <row r="15" spans="2:23" x14ac:dyDescent="0.25">
      <c r="B15" s="4" t="s">
        <v>30</v>
      </c>
      <c r="D15" s="1"/>
      <c r="T15" t="s">
        <v>58</v>
      </c>
      <c r="U15" t="s">
        <v>59</v>
      </c>
      <c r="V15">
        <v>55</v>
      </c>
      <c r="W15">
        <f t="shared" si="0"/>
        <v>6</v>
      </c>
    </row>
    <row r="16" spans="2:23" x14ac:dyDescent="0.25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  <c r="T16" t="s">
        <v>4</v>
      </c>
      <c r="U16" t="s">
        <v>62</v>
      </c>
      <c r="V16">
        <v>54</v>
      </c>
      <c r="W16">
        <f t="shared" si="0"/>
        <v>6</v>
      </c>
    </row>
    <row r="17" spans="2:23" x14ac:dyDescent="0.25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  <c r="T17" t="s">
        <v>57</v>
      </c>
      <c r="U17" t="s">
        <v>14</v>
      </c>
      <c r="V17">
        <v>54</v>
      </c>
      <c r="W17">
        <f t="shared" si="0"/>
        <v>6</v>
      </c>
    </row>
    <row r="18" spans="2:23" x14ac:dyDescent="0.25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Q18" s="2" t="s">
        <v>1</v>
      </c>
      <c r="R18" s="2" t="s">
        <v>0</v>
      </c>
      <c r="T18" t="s">
        <v>6</v>
      </c>
      <c r="U18" t="s">
        <v>65</v>
      </c>
      <c r="V18">
        <v>42</v>
      </c>
      <c r="W18" t="str">
        <f t="shared" si="0"/>
        <v/>
      </c>
    </row>
    <row r="19" spans="2:23" x14ac:dyDescent="0.25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1</v>
      </c>
      <c r="R19" s="2" t="s">
        <v>0</v>
      </c>
      <c r="T19" t="s">
        <v>5</v>
      </c>
      <c r="U19" t="s">
        <v>15</v>
      </c>
      <c r="V19">
        <v>38</v>
      </c>
      <c r="W19" t="str">
        <f t="shared" si="0"/>
        <v/>
      </c>
    </row>
    <row r="20" spans="2:23" x14ac:dyDescent="0.25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23" x14ac:dyDescent="0.25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R21" s="2" t="s">
        <v>0</v>
      </c>
    </row>
    <row r="22" spans="2:23" x14ac:dyDescent="0.25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23" x14ac:dyDescent="0.25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1</v>
      </c>
      <c r="Q23" s="2" t="s">
        <v>0</v>
      </c>
      <c r="R23" s="2" t="s">
        <v>0</v>
      </c>
    </row>
    <row r="24" spans="2:23" x14ac:dyDescent="0.25">
      <c r="C24" s="6">
        <f>SUM(C16:C23)</f>
        <v>28</v>
      </c>
      <c r="D24" s="7">
        <f>SUM(D16:D23)</f>
        <v>14</v>
      </c>
      <c r="E24" s="6">
        <f>SUMIF(E16:E23,$C$3,$C$16:$C$23)+SUMIF(E16:E23,$D$3,$D$16:$D$23)</f>
        <v>25</v>
      </c>
      <c r="F24" s="6">
        <f t="shared" ref="F24:R24" si="2">SUMIF(F16:F23,$C$3,$C$16:$C$23)+SUMIF(F16:F23,$D$3,$D$16:$D$23)</f>
        <v>24</v>
      </c>
      <c r="G24" s="6">
        <f t="shared" si="2"/>
        <v>27</v>
      </c>
      <c r="H24" s="6">
        <f t="shared" si="2"/>
        <v>23</v>
      </c>
      <c r="I24" s="6">
        <f t="shared" si="2"/>
        <v>28</v>
      </c>
      <c r="J24" s="6">
        <f t="shared" si="2"/>
        <v>24</v>
      </c>
      <c r="K24" s="6">
        <f t="shared" si="2"/>
        <v>28</v>
      </c>
      <c r="L24" s="6">
        <f t="shared" si="2"/>
        <v>24</v>
      </c>
      <c r="M24" s="6">
        <f t="shared" si="2"/>
        <v>19</v>
      </c>
      <c r="N24" s="6">
        <f t="shared" si="2"/>
        <v>28</v>
      </c>
      <c r="O24" s="6">
        <f t="shared" si="2"/>
        <v>9</v>
      </c>
      <c r="P24" s="6">
        <f t="shared" si="2"/>
        <v>19</v>
      </c>
      <c r="Q24" s="6">
        <f t="shared" si="2"/>
        <v>20</v>
      </c>
      <c r="R24" s="6">
        <f t="shared" si="2"/>
        <v>28</v>
      </c>
    </row>
    <row r="25" spans="2:23" x14ac:dyDescent="0.25">
      <c r="B25" s="4" t="s">
        <v>38</v>
      </c>
      <c r="D25" s="1"/>
    </row>
    <row r="26" spans="2:23" x14ac:dyDescent="0.25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1</v>
      </c>
      <c r="R26" s="2" t="s">
        <v>0</v>
      </c>
    </row>
    <row r="27" spans="2:23" x14ac:dyDescent="0.25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1</v>
      </c>
      <c r="R27" s="2" t="s">
        <v>0</v>
      </c>
    </row>
    <row r="28" spans="2:23" x14ac:dyDescent="0.25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23" x14ac:dyDescent="0.25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P29" s="2" t="s">
        <v>0</v>
      </c>
      <c r="R29" s="2" t="s">
        <v>0</v>
      </c>
    </row>
    <row r="30" spans="2:23" x14ac:dyDescent="0.25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0</v>
      </c>
      <c r="Q30" s="2" t="s">
        <v>1</v>
      </c>
      <c r="R30" s="2" t="s">
        <v>0</v>
      </c>
    </row>
    <row r="31" spans="2:23" x14ac:dyDescent="0.25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23" x14ac:dyDescent="0.25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Q32" s="2" t="s">
        <v>0</v>
      </c>
    </row>
    <row r="33" spans="2:18" x14ac:dyDescent="0.25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P33" s="2" t="s">
        <v>0</v>
      </c>
      <c r="R33" s="2" t="s">
        <v>0</v>
      </c>
    </row>
    <row r="34" spans="2:18" x14ac:dyDescent="0.25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25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P35" s="2" t="s">
        <v>0</v>
      </c>
      <c r="R35" s="2" t="s">
        <v>1</v>
      </c>
    </row>
    <row r="36" spans="2:18" x14ac:dyDescent="0.25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P36" s="2" t="s">
        <v>0</v>
      </c>
      <c r="R36" s="2" t="s">
        <v>0</v>
      </c>
    </row>
    <row r="37" spans="2:18" x14ac:dyDescent="0.25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P37" s="2" t="s">
        <v>0</v>
      </c>
      <c r="R37" s="2" t="s">
        <v>0</v>
      </c>
    </row>
    <row r="38" spans="2:18" x14ac:dyDescent="0.25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P38" s="2" t="s">
        <v>0</v>
      </c>
      <c r="R38" s="2" t="s">
        <v>0</v>
      </c>
    </row>
    <row r="39" spans="2:18" x14ac:dyDescent="0.25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0</v>
      </c>
      <c r="Q39" s="2" t="s">
        <v>1</v>
      </c>
      <c r="R39" s="2" t="s">
        <v>0</v>
      </c>
    </row>
    <row r="40" spans="2:18" x14ac:dyDescent="0.25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1</v>
      </c>
      <c r="R40" s="2" t="s">
        <v>1</v>
      </c>
    </row>
    <row r="41" spans="2:18" x14ac:dyDescent="0.25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R41" s="2" t="s">
        <v>0</v>
      </c>
    </row>
    <row r="42" spans="2:18" x14ac:dyDescent="0.25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P42" s="2" t="s">
        <v>1</v>
      </c>
      <c r="R42" s="2" t="s">
        <v>1</v>
      </c>
    </row>
    <row r="43" spans="2:18" x14ac:dyDescent="0.25">
      <c r="C43" s="6">
        <f>SUM(C26:C42)</f>
        <v>44</v>
      </c>
      <c r="D43" s="7">
        <f>SUM(D26:D42)</f>
        <v>22</v>
      </c>
      <c r="E43" s="6">
        <f>SUMIF(E26:E42,$C$3,$C$26:$C$42)+SUMIF(E26:E42,$D$3,$D$26:$D$42)</f>
        <v>41</v>
      </c>
      <c r="F43" s="6">
        <f t="shared" ref="F43:R43" si="3">SUMIF(F26:F42,$C$3,$C$26:$C$42)+SUMIF(F26:F42,$D$3,$D$26:$D$42)</f>
        <v>31</v>
      </c>
      <c r="G43" s="6">
        <f t="shared" si="3"/>
        <v>31</v>
      </c>
      <c r="H43" s="6">
        <f t="shared" si="3"/>
        <v>34</v>
      </c>
      <c r="I43" s="6">
        <f t="shared" si="3"/>
        <v>36</v>
      </c>
      <c r="J43" s="6">
        <f t="shared" si="3"/>
        <v>36</v>
      </c>
      <c r="K43" s="6">
        <f t="shared" si="3"/>
        <v>41</v>
      </c>
      <c r="L43" s="6">
        <f t="shared" si="3"/>
        <v>22</v>
      </c>
      <c r="M43" s="6">
        <f t="shared" si="3"/>
        <v>29</v>
      </c>
      <c r="N43" s="6">
        <f t="shared" si="3"/>
        <v>38</v>
      </c>
      <c r="O43" s="6">
        <f t="shared" si="3"/>
        <v>18</v>
      </c>
      <c r="P43" s="6">
        <f t="shared" si="3"/>
        <v>35</v>
      </c>
      <c r="Q43" s="6">
        <f t="shared" si="3"/>
        <v>12</v>
      </c>
      <c r="R43" s="6">
        <f t="shared" si="3"/>
        <v>35</v>
      </c>
    </row>
    <row r="45" spans="2:18" x14ac:dyDescent="0.25">
      <c r="B45" s="4" t="s">
        <v>56</v>
      </c>
      <c r="C45" s="5">
        <f>C14+C24+C43</f>
        <v>100</v>
      </c>
      <c r="D45" s="5">
        <f t="shared" ref="D45:R45" si="4">D14+D24+D43</f>
        <v>50</v>
      </c>
      <c r="E45" s="5">
        <f t="shared" si="4"/>
        <v>84</v>
      </c>
      <c r="F45" s="5">
        <f t="shared" si="4"/>
        <v>55</v>
      </c>
      <c r="G45" s="5">
        <f t="shared" si="4"/>
        <v>70</v>
      </c>
      <c r="H45" s="5">
        <f t="shared" si="4"/>
        <v>61</v>
      </c>
      <c r="I45" s="5">
        <f t="shared" si="4"/>
        <v>87</v>
      </c>
      <c r="J45" s="5">
        <f t="shared" si="4"/>
        <v>78</v>
      </c>
      <c r="K45" s="5">
        <f t="shared" si="4"/>
        <v>92</v>
      </c>
      <c r="L45" s="5">
        <f t="shared" si="4"/>
        <v>69</v>
      </c>
      <c r="M45" s="5">
        <f t="shared" si="4"/>
        <v>54</v>
      </c>
      <c r="N45" s="5">
        <f t="shared" si="4"/>
        <v>94</v>
      </c>
      <c r="O45" s="5">
        <f t="shared" si="4"/>
        <v>38</v>
      </c>
      <c r="P45" s="5">
        <f t="shared" si="4"/>
        <v>54</v>
      </c>
      <c r="Q45" s="5">
        <f t="shared" si="4"/>
        <v>42</v>
      </c>
      <c r="R45" s="5">
        <f t="shared" si="4"/>
        <v>83</v>
      </c>
    </row>
  </sheetData>
  <sortState xmlns:xlrd2="http://schemas.microsoft.com/office/spreadsheetml/2017/richdata2" ref="T6:V19">
    <sortCondition descending="1" ref="V6:V19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Hranjec, Nace</cp:lastModifiedBy>
  <dcterms:created xsi:type="dcterms:W3CDTF">2007-11-10T05:13:13Z</dcterms:created>
  <dcterms:modified xsi:type="dcterms:W3CDTF">2025-12-08T18:55:17Z</dcterms:modified>
</cp:coreProperties>
</file>